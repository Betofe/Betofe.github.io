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Table" sheetId="1" state="visible" r:id="rId3"/>
    <sheet name="Risk Register (FMEA)" sheetId="2" state="visible" r:id="rId4"/>
    <sheet name="Risk Summary" sheetId="3" state="visible" r:id="rId5"/>
    <sheet name="Maintenance Ga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<sst xmlns="http://schemas.openxmlformats.org/spreadsheetml/2006/main" count="428" uniqueCount="261">
  <si>
    <t xml:space="preserve">BMS ASSET REGISTER — Building A (DesigoCC) &amp; Building B (Niagara Tridium)</t>
  </si>
  <si>
    <t xml:space="preserve">Site: Same Location  ·  Shared: Roof Chiller Plant  ·  Prepared by: Imami Joel Betofe  ·  June 2026</t>
  </si>
  <si>
    <t xml:space="preserve">Asset ID</t>
  </si>
  <si>
    <t xml:space="preserve">Asset Name</t>
  </si>
  <si>
    <t xml:space="preserve">Type</t>
  </si>
  <si>
    <t xml:space="preserve">Building</t>
  </si>
  <si>
    <t xml:space="preserve">Floor(s)</t>
  </si>
  <si>
    <t xml:space="preserve">Function</t>
  </si>
  <si>
    <t xml:space="preserve">Key Components / Sensors</t>
  </si>
  <si>
    <t xml:space="preserve">Communicates With</t>
  </si>
  <si>
    <t xml:space="preserve">Failure Impact</t>
  </si>
  <si>
    <t xml:space="preserve">Status</t>
  </si>
  <si>
    <t xml:space="preserve">AHU-A-GF-01~05</t>
  </si>
  <si>
    <t xml:space="preserve">Air Handling Units (x5)</t>
  </si>
  <si>
    <t xml:space="preserve">AHU</t>
  </si>
  <si>
    <t xml:space="preserve">Building A</t>
  </si>
  <si>
    <t xml:space="preserve">Ground</t>
  </si>
  <si>
    <t xml:space="preserve">Condition and distribute air to the floor via VAVs and FCUs; request heating/cooling from chiller plant</t>
  </si>
  <si>
    <t xml:space="preserve">VSD fan, chilled water valve, filters, heating interlock, supply/return air temp sensors, static pressure sensor, CHW supply/return temp sensors, time clock</t>
  </si>
  <si>
    <t xml:space="preserve">Chiller plant, VAVs, FCUs, DesigoCC</t>
  </si>
  <si>
    <t xml:space="preserve">Loss of conditioned air to entire ground floor</t>
  </si>
  <si>
    <t xml:space="preserve">Operational</t>
  </si>
  <si>
    <t xml:space="preserve">AHU-A-F1-01~05</t>
  </si>
  <si>
    <t xml:space="preserve">Floor 1</t>
  </si>
  <si>
    <t xml:space="preserve">Same as ground floor AHUs</t>
  </si>
  <si>
    <t xml:space="preserve">Same as AHU-A-GF</t>
  </si>
  <si>
    <t xml:space="preserve">Loss of conditioned air — Floor 1</t>
  </si>
  <si>
    <t xml:space="preserve">AHU-A-F2-01~05</t>
  </si>
  <si>
    <t xml:space="preserve">Floor 2</t>
  </si>
  <si>
    <t xml:space="preserve">Loss of conditioned air — Floor 2. AHU 15 currently has active faults pending repair</t>
  </si>
  <si>
    <t xml:space="preserve">Fault — Pending Repair</t>
  </si>
  <si>
    <t xml:space="preserve">AHU-A-F3-01~05</t>
  </si>
  <si>
    <t xml:space="preserve">Floor 3</t>
  </si>
  <si>
    <t xml:space="preserve">Loss of conditioned air — Floor 3</t>
  </si>
  <si>
    <t xml:space="preserve">AHU-A-F4-01~05</t>
  </si>
  <si>
    <t xml:space="preserve">Floor 4</t>
  </si>
  <si>
    <t xml:space="preserve">Loss of conditioned air — Floor 4</t>
  </si>
  <si>
    <t xml:space="preserve">VAV-A-ALL</t>
  </si>
  <si>
    <t xml:space="preserve">VAVs (multiple per floor)</t>
  </si>
  <si>
    <t xml:space="preserve">VAV</t>
  </si>
  <si>
    <t xml:space="preserve">All Floors</t>
  </si>
  <si>
    <t xml:space="preserve">Variable air volume boxes regulate airflow to individual zones based on demand</t>
  </si>
  <si>
    <t xml:space="preserve">Actuator, airflow sensor, room temperature sensor</t>
  </si>
  <si>
    <t xml:space="preserve">AHUs, DesigoCC BACnet network</t>
  </si>
  <si>
    <t xml:space="preserve">Loss of zone-level airflow control</t>
  </si>
  <si>
    <t xml:space="preserve">FCU-A-ALL</t>
  </si>
  <si>
    <t xml:space="preserve">FCUs (multiple per floor)</t>
  </si>
  <si>
    <t xml:space="preserve">FCU</t>
  </si>
  <si>
    <t xml:space="preserve">Fan coil units provide localised heating/cooling to specific areas; supplement AHU supply</t>
  </si>
  <si>
    <t xml:space="preserve">Fan, chilled/hot water coil, control valve, room temperature sensor</t>
  </si>
  <si>
    <t xml:space="preserve">BACnet network, DesigoCC, chiller plant</t>
  </si>
  <si>
    <t xml:space="preserve">Loss of localised conditioning — occupant comfort affected</t>
  </si>
  <si>
    <t xml:space="preserve">DC-A-ALL</t>
  </si>
  <si>
    <t xml:space="preserve">Demand Controllers</t>
  </si>
  <si>
    <t xml:space="preserve">Controller</t>
  </si>
  <si>
    <t xml:space="preserve">Read feedback sensors and send commands to VAVs, FCUs, and AHUs over BACnet</t>
  </si>
  <si>
    <t xml:space="preserve">MCU/PLC, BACnet interface</t>
  </si>
  <si>
    <t xml:space="preserve">BACnet network, AHUs, VAVs, FCUs</t>
  </si>
  <si>
    <t xml:space="preserve">Floor loses automated control — manual override required</t>
  </si>
  <si>
    <t xml:space="preserve">NET-A</t>
  </si>
  <si>
    <t xml:space="preserve">BACnet Network</t>
  </si>
  <si>
    <t xml:space="preserve">Network</t>
  </si>
  <si>
    <t xml:space="preserve">Building-wide</t>
  </si>
  <si>
    <t xml:space="preserve">Independent communication backbone for all Building A assets and DesigoCC platform</t>
  </si>
  <si>
    <t xml:space="preserve">Routers, cabling, network switches</t>
  </si>
  <si>
    <t xml:space="preserve">All Building A assets</t>
  </si>
  <si>
    <t xml:space="preserve">Full loss of automated control across Building A</t>
  </si>
  <si>
    <t xml:space="preserve">DESIGO</t>
  </si>
  <si>
    <t xml:space="preserve">DesigoCC Platform</t>
  </si>
  <si>
    <t xml:space="preserve">SCADA</t>
  </si>
  <si>
    <t xml:space="preserve">Central monitoring, alarm management, and control interface for Building A</t>
  </si>
  <si>
    <t xml:space="preserve">Server, software, BACnet integration</t>
  </si>
  <si>
    <t xml:space="preserve">All Building A assets, site engineer workstation</t>
  </si>
  <si>
    <t xml:space="preserve">Loss of centralised monitoring and remote control — daily monitoring impossible</t>
  </si>
  <si>
    <t xml:space="preserve">AHU-B-F1-01~05</t>
  </si>
  <si>
    <t xml:space="preserve">Building B</t>
  </si>
  <si>
    <t xml:space="preserve">Condition and distribute air via diffuser units; heating via two built-in heater steps</t>
  </si>
  <si>
    <t xml:space="preserve">VSD fan (SAF), chilled water valve (CHWV), Heater Step 1 &amp; 2, supply/return air temp, CHW supply/return temp, static pressure sensors</t>
  </si>
  <si>
    <t xml:space="preserve">Chiller plant, diffusers, MLM controllers, Niagara</t>
  </si>
  <si>
    <t xml:space="preserve">Loss of conditioned air — Building B Floor 1</t>
  </si>
  <si>
    <t xml:space="preserve">AHU-B-F2-01~05</t>
  </si>
  <si>
    <t xml:space="preserve">Same as AHU-B-F1</t>
  </si>
  <si>
    <t xml:space="preserve">Loss of conditioned air — Building B Floor 2</t>
  </si>
  <si>
    <t xml:space="preserve">AHU-B-F3-01~05</t>
  </si>
  <si>
    <t xml:space="preserve">Loss of conditioned air — Building B Floor 3</t>
  </si>
  <si>
    <t xml:space="preserve">AHU-B-F4-01~05</t>
  </si>
  <si>
    <t xml:space="preserve">Loss of conditioned air — Building B Floor 4</t>
  </si>
  <si>
    <t xml:space="preserve">DIFF-B-ALL</t>
  </si>
  <si>
    <t xml:space="preserve">Diffuser Units (multiple per floor)</t>
  </si>
  <si>
    <t xml:space="preserve">Diffuser</t>
  </si>
  <si>
    <t xml:space="preserve">Distribute conditioned air to individual rooms; each unit operates in cooling, heating, or standby mode</t>
  </si>
  <si>
    <t xml:space="preserve">Temperature sensor, mode controller (cooling/heating/standby)</t>
  </si>
  <si>
    <t xml:space="preserve">MLM Controllers, AHUs, Niagara BACnet</t>
  </si>
  <si>
    <t xml:space="preserve">Loss of room-level temperature control</t>
  </si>
  <si>
    <t xml:space="preserve">MLM-B-ALL</t>
  </si>
  <si>
    <t xml:space="preserve">MLM Controllers</t>
  </si>
  <si>
    <t xml:space="preserve">Manage diffuser units and communicate AHU commands via BACnet network</t>
  </si>
  <si>
    <t xml:space="preserve">BACnet network, AHUs, diffusers, Rickard PSU</t>
  </si>
  <si>
    <t xml:space="preserve">Entire floor loses automated diffuser control</t>
  </si>
  <si>
    <t xml:space="preserve">PSU-B-ALL</t>
  </si>
  <si>
    <t xml:space="preserve">Rickard PSUs</t>
  </si>
  <si>
    <t xml:space="preserve">Power Supply</t>
  </si>
  <si>
    <t xml:space="preserve">Provide power to MLM controllers on each floor</t>
  </si>
  <si>
    <t xml:space="preserve">PSU unit, voltage output</t>
  </si>
  <si>
    <t xml:space="preserve">MLM Controllers, BACnet network</t>
  </si>
  <si>
    <t xml:space="preserve">All MLM controllers on floor lose power — complete floor zone failure</t>
  </si>
  <si>
    <t xml:space="preserve">NET-B</t>
  </si>
  <si>
    <t xml:space="preserve">Independent communication backbone for all Building B assets and Niagara platform</t>
  </si>
  <si>
    <t xml:space="preserve">All Building B assets</t>
  </si>
  <si>
    <t xml:space="preserve">Full loss of automated control across Building B</t>
  </si>
  <si>
    <t xml:space="preserve">NIAGARA</t>
  </si>
  <si>
    <t xml:space="preserve">Niagara Tridium Platform</t>
  </si>
  <si>
    <t xml:space="preserve">Central monitoring, alarm management, and control interface for Building B</t>
  </si>
  <si>
    <t xml:space="preserve">All Building B assets, site engineer workstation</t>
  </si>
  <si>
    <t xml:space="preserve">Loss of centralised monitoring and remote control</t>
  </si>
  <si>
    <t xml:space="preserve">CHILL-ROOF</t>
  </si>
  <si>
    <t xml:space="preserve">Roof Chiller Plant</t>
  </si>
  <si>
    <t xml:space="preserve">Chiller</t>
  </si>
  <si>
    <t xml:space="preserve">Shared</t>
  </si>
  <si>
    <t xml:space="preserve">Roof Level</t>
  </si>
  <si>
    <t xml:space="preserve">Provides chilled water to all AHUs in both Building A and Building B</t>
  </si>
  <si>
    <t xml:space="preserve">Chiller units, chilled water pumps, pipework, sensors</t>
  </si>
  <si>
    <t xml:space="preserve">All AHUs in both buildings</t>
  </si>
  <si>
    <t xml:space="preserve">Both buildings lose cooling capability simultaneously — highest impact shared asset</t>
  </si>
  <si>
    <t xml:space="preserve">Active Alarms — Mechanical Contractor</t>
  </si>
  <si>
    <t xml:space="preserve">RISK REGISTER — FMEA  |  Building A &amp; Building B  |  June 2026</t>
  </si>
  <si>
    <t xml:space="preserve">Likelihood 1–5 (1=Rare, 5=Almost Certain)  ·  Impact 1–5 (1=Negligible, 5=Catastrophic)  ·  Score = L×I  ·  Critical ≥15  ·  High 8–14  ·  Medium 4–7  ·  Low ≤3</t>
  </si>
  <si>
    <t xml:space="preserve">Risk ID</t>
  </si>
  <si>
    <t xml:space="preserve">Asset</t>
  </si>
  <si>
    <t xml:space="preserve">Failure Mode</t>
  </si>
  <si>
    <t xml:space="preserve">Effect</t>
  </si>
  <si>
    <t xml:space="preserve">Likelihood
(1–5)</t>
  </si>
  <si>
    <t xml:space="preserve">Impact
(1–5)</t>
  </si>
  <si>
    <t xml:space="preserve">Score
(L×I)</t>
  </si>
  <si>
    <t xml:space="preserve">Level</t>
  </si>
  <si>
    <t xml:space="preserve">Current Controls</t>
  </si>
  <si>
    <t xml:space="preserve">Recommended Action</t>
  </si>
  <si>
    <t xml:space="preserve">Owner</t>
  </si>
  <si>
    <t xml:space="preserve">R-01</t>
  </si>
  <si>
    <t xml:space="preserve">Chiller failure or active fault</t>
  </si>
  <si>
    <t xml:space="preserve">Both Building A and Building B lose cooling capability simultaneously</t>
  </si>
  <si>
    <t xml:space="preserve">Critical</t>
  </si>
  <si>
    <t xml:space="preserve">Life Safety alarms active; escalated to site manager</t>
  </si>
  <si>
    <t xml:space="preserve">Mechanical contractor to inspect and resolve immediately; confirm backup cooling contingency</t>
  </si>
  <si>
    <t xml:space="preserve">Site Manager / Mech. Contractor</t>
  </si>
  <si>
    <t xml:space="preserve">R-02</t>
  </si>
  <si>
    <t xml:space="preserve">AHU 15 — Floor 2</t>
  </si>
  <si>
    <t xml:space="preserve">Multiple simultaneous controller faults (mode, heating, damper, setpoint, start command)</t>
  </si>
  <si>
    <t xml:space="preserve">Floor 2 zone served by AHU 15 loses full automated HVAC control; occupant comfort affected</t>
  </si>
  <si>
    <t xml:space="preserve">Faults visible on DesigoCC; being monitored</t>
  </si>
  <si>
    <t xml:space="preserve">Procure and replace faulty components; prioritise approval to restore full operation</t>
  </si>
  <si>
    <t xml:space="preserve">Site Automation Engineer / Building Manager</t>
  </si>
  <si>
    <t xml:space="preserve">R-03</t>
  </si>
  <si>
    <t xml:space="preserve">Room Temperature — Multiple Floors</t>
  </si>
  <si>
    <t xml:space="preserve">Persistent high room temperature alarms across floors 1–4</t>
  </si>
  <si>
    <t xml:space="preserve">Occupant discomfort across multiple zones; indicates systemic cooling performance issue</t>
  </si>
  <si>
    <t xml:space="preserve">282 medium alarms active and monitored on DesigoCC</t>
  </si>
  <si>
    <t xml:space="preserve">Floor-by-floor inspection to identify failing equipment; prioritise procurement of parts</t>
  </si>
  <si>
    <t xml:space="preserve">R-04</t>
  </si>
  <si>
    <t xml:space="preserve">Controller fault or communication loss on a floor</t>
  </si>
  <si>
    <t xml:space="preserve">Entire floor loses automated VAV and FCU control; manual override required</t>
  </si>
  <si>
    <t xml:space="preserve">High</t>
  </si>
  <si>
    <t xml:space="preserve">DesigoCC monitors and raises alarms on fault</t>
  </si>
  <si>
    <t xml:space="preserve">Confirm spare controller availability on site; document recovery procedure</t>
  </si>
  <si>
    <t xml:space="preserve">Site Automation Engineer</t>
  </si>
  <si>
    <t xml:space="preserve">R-05</t>
  </si>
  <si>
    <t xml:space="preserve">Network communication dropout or failure</t>
  </si>
  <si>
    <t xml:space="preserve">All Building A assets lose communication with DesigoCC; automated control fails across all floors</t>
  </si>
  <si>
    <t xml:space="preserve">No redundant network path documented</t>
  </si>
  <si>
    <t xml:space="preserve">Document network topology; confirm redundancy; set communication-loss alerting</t>
  </si>
  <si>
    <t xml:space="preserve">Site Automation Engineer / IT</t>
  </si>
  <si>
    <t xml:space="preserve">R-06</t>
  </si>
  <si>
    <t xml:space="preserve">Rickard PSU</t>
  </si>
  <si>
    <t xml:space="preserve">Power supply unit failure on a floor</t>
  </si>
  <si>
    <t xml:space="preserve">All MLM controllers on that floor lose power — complete Building B floor zone failure</t>
  </si>
  <si>
    <t xml:space="preserve">Visual indicator on PSU; monitored on Niagara</t>
  </si>
  <si>
    <t xml:space="preserve">Schedule quarterly PSU voltage checks; stock spare PSU on site</t>
  </si>
  <si>
    <t xml:space="preserve">R-07</t>
  </si>
  <si>
    <t xml:space="preserve">Controller fault or communication loss</t>
  </si>
  <si>
    <t xml:space="preserve">Floor loses automated diffuser and AHU command control</t>
  </si>
  <si>
    <t xml:space="preserve">Niagara raises alarms on controller offline</t>
  </si>
  <si>
    <t xml:space="preserve">Confirm spare MLM controller availability; document recovery procedure</t>
  </si>
  <si>
    <t xml:space="preserve">R-08</t>
  </si>
  <si>
    <t xml:space="preserve">Platform crash, server fault, or licence issue</t>
  </si>
  <si>
    <t xml:space="preserve">Loss of all centralised monitoring and alarm management for Building A; faults go undetected</t>
  </si>
  <si>
    <t xml:space="preserve">Server monitored by IT</t>
  </si>
  <si>
    <t xml:space="preserve">Confirm backup/restore procedure; verify licence renewal dates</t>
  </si>
  <si>
    <t xml:space="preserve">IT / Site Automation Engineer</t>
  </si>
  <si>
    <t xml:space="preserve">R-09</t>
  </si>
  <si>
    <t xml:space="preserve">AHU Heater Steps (1 &amp; 2)</t>
  </si>
  <si>
    <t xml:space="preserve">Heater step failure — one or both steps offline</t>
  </si>
  <si>
    <t xml:space="preserve">Building B loses heating capability; AHU cannot meet heating demand during cold periods</t>
  </si>
  <si>
    <t xml:space="preserve">Medium</t>
  </si>
  <si>
    <t xml:space="preserve">Monitored on Niagara; step status visible on AHU screen</t>
  </si>
  <si>
    <t xml:space="preserve">Include heater steps in periodic inspection; verify both steps activate on demand</t>
  </si>
  <si>
    <t xml:space="preserve">R-10</t>
  </si>
  <si>
    <t xml:space="preserve">Feedback Sensors (all floors)</t>
  </si>
  <si>
    <t xml:space="preserve">Sensor drift or calibration loss</t>
  </si>
  <si>
    <t xml:space="preserve">Controllers receive incorrect readings; AHUs and VAVs respond incorrectly — energy waste and comfort issues</t>
  </si>
  <si>
    <t xml:space="preserve">DesigoCC monitors out-of-range values</t>
  </si>
  <si>
    <t xml:space="preserve">Establish annual sensor calibration schedule; log last calibration date per sensor</t>
  </si>
  <si>
    <t xml:space="preserve">R-11</t>
  </si>
  <si>
    <t xml:space="preserve">Platform failure or network loss to Niagara supervisor</t>
  </si>
  <si>
    <t xml:space="preserve">Building B loses supervisory monitoring; controllers run on last setpoint but cannot be adjusted remotely</t>
  </si>
  <si>
    <t xml:space="preserve">Local controller fallback behaviour exists</t>
  </si>
  <si>
    <t xml:space="preserve">Document fallback behaviour; confirm with Niagara vendor; verify backup procedure</t>
  </si>
  <si>
    <t xml:space="preserve">R-12</t>
  </si>
  <si>
    <t xml:space="preserve">AHU Filters</t>
  </si>
  <si>
    <t xml:space="preserve">Filter blockage or degraded filter condition</t>
  </si>
  <si>
    <t xml:space="preserve">Reduced airflow to floor; AHU fan works harder increasing energy use; air quality degrades</t>
  </si>
  <si>
    <t xml:space="preserve">Filter status monitored on DesigoCC (Clean/Dirty)</t>
  </si>
  <si>
    <t xml:space="preserve">Replace filters per maintenance schedule; log replacement dates</t>
  </si>
  <si>
    <t xml:space="preserve">RISK SUMMARY DASHBOARD</t>
  </si>
  <si>
    <t xml:space="preserve">Count</t>
  </si>
  <si>
    <t xml:space="preserve">Top Assets</t>
  </si>
  <si>
    <t xml:space="preserve">Max Score</t>
  </si>
  <si>
    <t xml:space="preserve">Action Timeframe</t>
  </si>
  <si>
    <t xml:space="preserve">Chiller, AHU 15, Room Temp Pattern</t>
  </si>
  <si>
    <t xml:space="preserve">Immediate</t>
  </si>
  <si>
    <t xml:space="preserve">Shared / Building A</t>
  </si>
  <si>
    <t xml:space="preserve">BACnet, Controllers, PSU, DesigoCC</t>
  </si>
  <si>
    <t xml:space="preserve">Within 30 days</t>
  </si>
  <si>
    <t xml:space="preserve">Both</t>
  </si>
  <si>
    <t xml:space="preserve">Sensors, Filters, Heater Steps, Niagara</t>
  </si>
  <si>
    <t xml:space="preserve">Within 90 days</t>
  </si>
  <si>
    <t xml:space="preserve">Low</t>
  </si>
  <si>
    <t xml:space="preserve">—</t>
  </si>
  <si>
    <t xml:space="preserve">Monitor quarterly</t>
  </si>
  <si>
    <t xml:space="preserve">MAINTENANCE GAP ANALYSIS  |  Building A &amp; Building B  |  June 2026</t>
  </si>
  <si>
    <t xml:space="preserve">PM Schedule Documented?</t>
  </si>
  <si>
    <t xml:space="preserve">Last Inspection</t>
  </si>
  <si>
    <t xml:space="preserve">Gap Identified</t>
  </si>
  <si>
    <t xml:space="preserve">Priority</t>
  </si>
  <si>
    <t xml:space="preserve">Not confirmed — active alarms present</t>
  </si>
  <si>
    <t xml:space="preserve">Unknown</t>
  </si>
  <si>
    <t xml:space="preserve">Life Safety alarms active; no confirmed PM schedule with mechanical contractor</t>
  </si>
  <si>
    <t xml:space="preserve">Confirm PM schedule with mechanical contractor; document service history</t>
  </si>
  <si>
    <t xml:space="preserve">Not applicable — fault condition</t>
  </si>
  <si>
    <t xml:space="preserve">Multiple simultaneous active faults; unit not operating normally</t>
  </si>
  <si>
    <t xml:space="preserve">Procure parts; repair or replace faulty components; document outcome</t>
  </si>
  <si>
    <t xml:space="preserve">AHU Filters — All Floors</t>
  </si>
  <si>
    <t xml:space="preserve">Not confirmed</t>
  </si>
  <si>
    <t xml:space="preserve">Filter status monitored on DesigoCC but no replacement log found</t>
  </si>
  <si>
    <t xml:space="preserve">Establish filter replacement schedule; log replacement dates per AHU</t>
  </si>
  <si>
    <t xml:space="preserve">Feedback Sensors — All Floors</t>
  </si>
  <si>
    <t xml:space="preserve">No sensor calibration dates documented on DesigoCC</t>
  </si>
  <si>
    <t xml:space="preserve">Schedule annual calibration; create calibration log per sensor</t>
  </si>
  <si>
    <t xml:space="preserve">AHU Heater Steps 1 &amp; 2</t>
  </si>
  <si>
    <t xml:space="preserve">No periodic test of heater steps documented</t>
  </si>
  <si>
    <t xml:space="preserve">Test both steps under load; verify activation; document results</t>
  </si>
  <si>
    <t xml:space="preserve">Rickard PSUs — All Floors</t>
  </si>
  <si>
    <t xml:space="preserve">PSU voltage output not logged regularly</t>
  </si>
  <si>
    <t xml:space="preserve">Schedule quarterly voltage checks; log results; stock spare PSU on site</t>
  </si>
  <si>
    <t xml:space="preserve">FCUs — All Floors</t>
  </si>
  <si>
    <t xml:space="preserve">No FCU service or filter check schedule documented</t>
  </si>
  <si>
    <t xml:space="preserve">Add FCUs to PM schedule; include coil cleaning and filter checks</t>
  </si>
  <si>
    <t xml:space="preserve">Partial — Niagara alarms active</t>
  </si>
  <si>
    <t xml:space="preserve">No firmware check or physical inspection schedule documented</t>
  </si>
  <si>
    <t xml:space="preserve">Confirm firmware versions; schedule annual controller health check</t>
  </si>
  <si>
    <t xml:space="preserve">Partial — DesigoCC alarms active</t>
  </si>
  <si>
    <t xml:space="preserve">Same as MLM controllers for Building A side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</si>
</sst>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A2A"/>
        <bgColor rgb="FF1F2937"/>
      </patternFill>
    </fill>
    <fill>
      <patternFill patternType="solid">
        <fgColor rgb="FFF9FAFB"/>
        <bgColor rgb="FFFFFFFF"/>
      </patternFill>
    </fill>
    <fill>
      <patternFill patternType="solid">
        <fgColor rgb="FF2D7A4F"/>
        <bgColor rgb="FF008080"/>
      </patternFill>
    </fill>
    <fill>
      <patternFill patternType="solid">
        <fgColor rgb="FFF0F7ED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39C12"/>
      </patternFill>
    </fill>
    <fill>
      <patternFill patternType="solid">
        <fgColor rgb="FFF39C12"/>
        <bgColor rgb="FFE67E22"/>
      </patternFill>
    </fill>
    <fill>
      <patternFill patternType="solid">
        <fgColor rgb="FF27AE60"/>
        <bgColor rgb="FF2D7A4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7A4F"/>
      <rgbColor rgb="FFBFBFBF"/>
      <rgbColor rgb="FF808080"/>
      <rgbColor rgb="FF9999FF"/>
      <rgbColor rgb="FF993366"/>
      <rgbColor rgb="FFF0F7ED"/>
      <rgbColor rgb="FFF9FA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67E22"/>
      <rgbColor rgb="FF6B7280"/>
      <rgbColor rgb="FF969696"/>
      <rgbColor rgb="FF003366"/>
      <rgbColor rgb="FF27AE60"/>
      <rgbColor rgb="FF003300"/>
      <rgbColor rgb="FF1A3A2A"/>
      <rgbColor rgb="FFC0392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36"/>
    <col collapsed="false" customWidth="true" hidden="false" outlineLevel="0" max="7" min="7" style="0" width="42"/>
    <col collapsed="false" customWidth="true" hidden="false" outlineLevel="0" max="8" min="8" style="0" width="30"/>
    <col collapsed="false" customWidth="true" hidden="false" outlineLevel="0" max="9" min="9" style="0" width="38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36" hidden="false" customHeight="true" outlineLevel="0" collapsed="false">
      <c r="A4" s="4" t="s">
        <v>12</v>
      </c>
      <c r="B4" s="5" t="s">
        <v>13</v>
      </c>
      <c r="C4" s="4" t="s">
        <v>14</v>
      </c>
      <c r="D4" s="4" t="s">
        <v>15</v>
      </c>
      <c r="E4" s="4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6" t="s">
        <v>21</v>
      </c>
    </row>
    <row r="5" customFormat="false" ht="36" hidden="false" customHeight="true" outlineLevel="0" collapsed="false">
      <c r="A5" s="6" t="s">
        <v>22</v>
      </c>
      <c r="B5" s="7" t="s">
        <v>13</v>
      </c>
      <c r="C5" s="6" t="s">
        <v>14</v>
      </c>
      <c r="D5" s="6" t="s">
        <v>15</v>
      </c>
      <c r="E5" s="6" t="s">
        <v>23</v>
      </c>
      <c r="F5" s="7" t="s">
        <v>24</v>
      </c>
      <c r="G5" s="7" t="s">
        <v>25</v>
      </c>
      <c r="H5" s="7" t="s">
        <v>19</v>
      </c>
      <c r="I5" s="7" t="s">
        <v>26</v>
      </c>
      <c r="J5" s="6" t="s">
        <v>21</v>
      </c>
    </row>
    <row r="6" customFormat="false" ht="36" hidden="false" customHeight="true" outlineLevel="0" collapsed="false">
      <c r="A6" s="4" t="s">
        <v>27</v>
      </c>
      <c r="B6" s="5" t="s">
        <v>13</v>
      </c>
      <c r="C6" s="4" t="s">
        <v>14</v>
      </c>
      <c r="D6" s="4" t="s">
        <v>15</v>
      </c>
      <c r="E6" s="4" t="s">
        <v>28</v>
      </c>
      <c r="F6" s="5" t="s">
        <v>24</v>
      </c>
      <c r="G6" s="5" t="s">
        <v>25</v>
      </c>
      <c r="H6" s="5" t="s">
        <v>19</v>
      </c>
      <c r="I6" s="5" t="s">
        <v>29</v>
      </c>
      <c r="J6" s="8" t="s">
        <v>30</v>
      </c>
    </row>
    <row r="7" customFormat="false" ht="36" hidden="false" customHeight="true" outlineLevel="0" collapsed="false">
      <c r="A7" s="6" t="s">
        <v>31</v>
      </c>
      <c r="B7" s="7" t="s">
        <v>13</v>
      </c>
      <c r="C7" s="6" t="s">
        <v>14</v>
      </c>
      <c r="D7" s="6" t="s">
        <v>15</v>
      </c>
      <c r="E7" s="6" t="s">
        <v>32</v>
      </c>
      <c r="F7" s="7" t="s">
        <v>24</v>
      </c>
      <c r="G7" s="7" t="s">
        <v>25</v>
      </c>
      <c r="H7" s="7" t="s">
        <v>19</v>
      </c>
      <c r="I7" s="7" t="s">
        <v>33</v>
      </c>
      <c r="J7" s="6" t="s">
        <v>21</v>
      </c>
    </row>
    <row r="8" customFormat="false" ht="36" hidden="false" customHeight="true" outlineLevel="0" collapsed="false">
      <c r="A8" s="4" t="s">
        <v>34</v>
      </c>
      <c r="B8" s="5" t="s">
        <v>13</v>
      </c>
      <c r="C8" s="4" t="s">
        <v>14</v>
      </c>
      <c r="D8" s="4" t="s">
        <v>15</v>
      </c>
      <c r="E8" s="4" t="s">
        <v>35</v>
      </c>
      <c r="F8" s="5" t="s">
        <v>24</v>
      </c>
      <c r="G8" s="5" t="s">
        <v>25</v>
      </c>
      <c r="H8" s="5" t="s">
        <v>19</v>
      </c>
      <c r="I8" s="5" t="s">
        <v>36</v>
      </c>
      <c r="J8" s="6" t="s">
        <v>21</v>
      </c>
    </row>
    <row r="9" customFormat="false" ht="36" hidden="false" customHeight="true" outlineLevel="0" collapsed="false">
      <c r="A9" s="6" t="s">
        <v>37</v>
      </c>
      <c r="B9" s="7" t="s">
        <v>38</v>
      </c>
      <c r="C9" s="6" t="s">
        <v>39</v>
      </c>
      <c r="D9" s="6" t="s">
        <v>15</v>
      </c>
      <c r="E9" s="6" t="s">
        <v>40</v>
      </c>
      <c r="F9" s="7" t="s">
        <v>41</v>
      </c>
      <c r="G9" s="7" t="s">
        <v>42</v>
      </c>
      <c r="H9" s="7" t="s">
        <v>43</v>
      </c>
      <c r="I9" s="7" t="s">
        <v>44</v>
      </c>
      <c r="J9" s="6" t="s">
        <v>21</v>
      </c>
    </row>
    <row r="10" customFormat="false" ht="36" hidden="false" customHeight="true" outlineLevel="0" collapsed="false">
      <c r="A10" s="4" t="s">
        <v>45</v>
      </c>
      <c r="B10" s="5" t="s">
        <v>46</v>
      </c>
      <c r="C10" s="4" t="s">
        <v>47</v>
      </c>
      <c r="D10" s="4" t="s">
        <v>15</v>
      </c>
      <c r="E10" s="4" t="s">
        <v>40</v>
      </c>
      <c r="F10" s="5" t="s">
        <v>48</v>
      </c>
      <c r="G10" s="5" t="s">
        <v>49</v>
      </c>
      <c r="H10" s="5" t="s">
        <v>50</v>
      </c>
      <c r="I10" s="5" t="s">
        <v>51</v>
      </c>
      <c r="J10" s="6" t="s">
        <v>21</v>
      </c>
    </row>
    <row r="11" customFormat="false" ht="36" hidden="false" customHeight="true" outlineLevel="0" collapsed="false">
      <c r="A11" s="6" t="s">
        <v>52</v>
      </c>
      <c r="B11" s="7" t="s">
        <v>53</v>
      </c>
      <c r="C11" s="6" t="s">
        <v>54</v>
      </c>
      <c r="D11" s="6" t="s">
        <v>15</v>
      </c>
      <c r="E11" s="6" t="s">
        <v>40</v>
      </c>
      <c r="F11" s="7" t="s">
        <v>55</v>
      </c>
      <c r="G11" s="7" t="s">
        <v>56</v>
      </c>
      <c r="H11" s="7" t="s">
        <v>57</v>
      </c>
      <c r="I11" s="7" t="s">
        <v>58</v>
      </c>
      <c r="J11" s="6" t="s">
        <v>21</v>
      </c>
    </row>
    <row r="12" customFormat="false" ht="36" hidden="false" customHeight="true" outlineLevel="0" collapsed="false">
      <c r="A12" s="4" t="s">
        <v>59</v>
      </c>
      <c r="B12" s="5" t="s">
        <v>60</v>
      </c>
      <c r="C12" s="4" t="s">
        <v>61</v>
      </c>
      <c r="D12" s="4" t="s">
        <v>15</v>
      </c>
      <c r="E12" s="4" t="s">
        <v>62</v>
      </c>
      <c r="F12" s="5" t="s">
        <v>63</v>
      </c>
      <c r="G12" s="5" t="s">
        <v>64</v>
      </c>
      <c r="H12" s="5" t="s">
        <v>65</v>
      </c>
      <c r="I12" s="5" t="s">
        <v>66</v>
      </c>
      <c r="J12" s="6" t="s">
        <v>21</v>
      </c>
    </row>
    <row r="13" customFormat="false" ht="36" hidden="false" customHeight="true" outlineLevel="0" collapsed="false">
      <c r="A13" s="6" t="s">
        <v>67</v>
      </c>
      <c r="B13" s="7" t="s">
        <v>68</v>
      </c>
      <c r="C13" s="6" t="s">
        <v>69</v>
      </c>
      <c r="D13" s="6" t="s">
        <v>15</v>
      </c>
      <c r="E13" s="6" t="s">
        <v>62</v>
      </c>
      <c r="F13" s="7" t="s">
        <v>70</v>
      </c>
      <c r="G13" s="7" t="s">
        <v>71</v>
      </c>
      <c r="H13" s="7" t="s">
        <v>72</v>
      </c>
      <c r="I13" s="7" t="s">
        <v>73</v>
      </c>
      <c r="J13" s="6" t="s">
        <v>21</v>
      </c>
    </row>
    <row r="14" customFormat="false" ht="36" hidden="false" customHeight="true" outlineLevel="0" collapsed="false">
      <c r="A14" s="4" t="s">
        <v>74</v>
      </c>
      <c r="B14" s="5" t="s">
        <v>13</v>
      </c>
      <c r="C14" s="4" t="s">
        <v>14</v>
      </c>
      <c r="D14" s="4" t="s">
        <v>75</v>
      </c>
      <c r="E14" s="4" t="s">
        <v>23</v>
      </c>
      <c r="F14" s="5" t="s">
        <v>76</v>
      </c>
      <c r="G14" s="5" t="s">
        <v>77</v>
      </c>
      <c r="H14" s="5" t="s">
        <v>78</v>
      </c>
      <c r="I14" s="5" t="s">
        <v>79</v>
      </c>
      <c r="J14" s="6" t="s">
        <v>21</v>
      </c>
    </row>
    <row r="15" customFormat="false" ht="36" hidden="false" customHeight="true" outlineLevel="0" collapsed="false">
      <c r="A15" s="6" t="s">
        <v>80</v>
      </c>
      <c r="B15" s="7" t="s">
        <v>13</v>
      </c>
      <c r="C15" s="6" t="s">
        <v>14</v>
      </c>
      <c r="D15" s="6" t="s">
        <v>75</v>
      </c>
      <c r="E15" s="6" t="s">
        <v>28</v>
      </c>
      <c r="F15" s="7" t="s">
        <v>81</v>
      </c>
      <c r="G15" s="7" t="s">
        <v>81</v>
      </c>
      <c r="H15" s="7" t="s">
        <v>78</v>
      </c>
      <c r="I15" s="7" t="s">
        <v>82</v>
      </c>
      <c r="J15" s="6" t="s">
        <v>21</v>
      </c>
    </row>
    <row r="16" customFormat="false" ht="36" hidden="false" customHeight="true" outlineLevel="0" collapsed="false">
      <c r="A16" s="4" t="s">
        <v>83</v>
      </c>
      <c r="B16" s="5" t="s">
        <v>13</v>
      </c>
      <c r="C16" s="4" t="s">
        <v>14</v>
      </c>
      <c r="D16" s="4" t="s">
        <v>75</v>
      </c>
      <c r="E16" s="4" t="s">
        <v>32</v>
      </c>
      <c r="F16" s="5" t="s">
        <v>81</v>
      </c>
      <c r="G16" s="5" t="s">
        <v>81</v>
      </c>
      <c r="H16" s="5" t="s">
        <v>78</v>
      </c>
      <c r="I16" s="5" t="s">
        <v>84</v>
      </c>
      <c r="J16" s="6" t="s">
        <v>21</v>
      </c>
    </row>
    <row r="17" customFormat="false" ht="36" hidden="false" customHeight="true" outlineLevel="0" collapsed="false">
      <c r="A17" s="6" t="s">
        <v>85</v>
      </c>
      <c r="B17" s="7" t="s">
        <v>13</v>
      </c>
      <c r="C17" s="6" t="s">
        <v>14</v>
      </c>
      <c r="D17" s="6" t="s">
        <v>75</v>
      </c>
      <c r="E17" s="6" t="s">
        <v>35</v>
      </c>
      <c r="F17" s="7" t="s">
        <v>81</v>
      </c>
      <c r="G17" s="7" t="s">
        <v>81</v>
      </c>
      <c r="H17" s="7" t="s">
        <v>78</v>
      </c>
      <c r="I17" s="7" t="s">
        <v>86</v>
      </c>
      <c r="J17" s="6" t="s">
        <v>21</v>
      </c>
    </row>
    <row r="18" customFormat="false" ht="36" hidden="false" customHeight="true" outlineLevel="0" collapsed="false">
      <c r="A18" s="4" t="s">
        <v>87</v>
      </c>
      <c r="B18" s="5" t="s">
        <v>88</v>
      </c>
      <c r="C18" s="4" t="s">
        <v>89</v>
      </c>
      <c r="D18" s="4" t="s">
        <v>75</v>
      </c>
      <c r="E18" s="4" t="s">
        <v>40</v>
      </c>
      <c r="F18" s="5" t="s">
        <v>90</v>
      </c>
      <c r="G18" s="5" t="s">
        <v>91</v>
      </c>
      <c r="H18" s="5" t="s">
        <v>92</v>
      </c>
      <c r="I18" s="5" t="s">
        <v>93</v>
      </c>
      <c r="J18" s="6" t="s">
        <v>21</v>
      </c>
    </row>
    <row r="19" customFormat="false" ht="36" hidden="false" customHeight="true" outlineLevel="0" collapsed="false">
      <c r="A19" s="6" t="s">
        <v>94</v>
      </c>
      <c r="B19" s="7" t="s">
        <v>95</v>
      </c>
      <c r="C19" s="6" t="s">
        <v>54</v>
      </c>
      <c r="D19" s="6" t="s">
        <v>75</v>
      </c>
      <c r="E19" s="6" t="s">
        <v>40</v>
      </c>
      <c r="F19" s="7" t="s">
        <v>96</v>
      </c>
      <c r="G19" s="7" t="s">
        <v>56</v>
      </c>
      <c r="H19" s="7" t="s">
        <v>97</v>
      </c>
      <c r="I19" s="7" t="s">
        <v>98</v>
      </c>
      <c r="J19" s="6" t="s">
        <v>21</v>
      </c>
    </row>
    <row r="20" customFormat="false" ht="36" hidden="false" customHeight="true" outlineLevel="0" collapsed="false">
      <c r="A20" s="4" t="s">
        <v>99</v>
      </c>
      <c r="B20" s="5" t="s">
        <v>100</v>
      </c>
      <c r="C20" s="4" t="s">
        <v>101</v>
      </c>
      <c r="D20" s="4" t="s">
        <v>75</v>
      </c>
      <c r="E20" s="4" t="s">
        <v>40</v>
      </c>
      <c r="F20" s="5" t="s">
        <v>102</v>
      </c>
      <c r="G20" s="5" t="s">
        <v>103</v>
      </c>
      <c r="H20" s="5" t="s">
        <v>104</v>
      </c>
      <c r="I20" s="5" t="s">
        <v>105</v>
      </c>
      <c r="J20" s="6" t="s">
        <v>21</v>
      </c>
    </row>
    <row r="21" customFormat="false" ht="36" hidden="false" customHeight="true" outlineLevel="0" collapsed="false">
      <c r="A21" s="6" t="s">
        <v>106</v>
      </c>
      <c r="B21" s="7" t="s">
        <v>60</v>
      </c>
      <c r="C21" s="6" t="s">
        <v>61</v>
      </c>
      <c r="D21" s="6" t="s">
        <v>75</v>
      </c>
      <c r="E21" s="6" t="s">
        <v>62</v>
      </c>
      <c r="F21" s="7" t="s">
        <v>107</v>
      </c>
      <c r="G21" s="7" t="s">
        <v>64</v>
      </c>
      <c r="H21" s="7" t="s">
        <v>108</v>
      </c>
      <c r="I21" s="7" t="s">
        <v>109</v>
      </c>
      <c r="J21" s="6" t="s">
        <v>21</v>
      </c>
    </row>
    <row r="22" customFormat="false" ht="36" hidden="false" customHeight="true" outlineLevel="0" collapsed="false">
      <c r="A22" s="4" t="s">
        <v>110</v>
      </c>
      <c r="B22" s="5" t="s">
        <v>111</v>
      </c>
      <c r="C22" s="4" t="s">
        <v>69</v>
      </c>
      <c r="D22" s="4" t="s">
        <v>75</v>
      </c>
      <c r="E22" s="4" t="s">
        <v>62</v>
      </c>
      <c r="F22" s="5" t="s">
        <v>112</v>
      </c>
      <c r="G22" s="5" t="s">
        <v>71</v>
      </c>
      <c r="H22" s="5" t="s">
        <v>113</v>
      </c>
      <c r="I22" s="5" t="s">
        <v>114</v>
      </c>
      <c r="J22" s="6" t="s">
        <v>21</v>
      </c>
    </row>
    <row r="23" customFormat="false" ht="36" hidden="false" customHeight="true" outlineLevel="0" collapsed="false">
      <c r="A23" s="6" t="s">
        <v>115</v>
      </c>
      <c r="B23" s="7" t="s">
        <v>116</v>
      </c>
      <c r="C23" s="6" t="s">
        <v>117</v>
      </c>
      <c r="D23" s="6" t="s">
        <v>118</v>
      </c>
      <c r="E23" s="6" t="s">
        <v>119</v>
      </c>
      <c r="F23" s="7" t="s">
        <v>120</v>
      </c>
      <c r="G23" s="7" t="s">
        <v>121</v>
      </c>
      <c r="H23" s="7" t="s">
        <v>122</v>
      </c>
      <c r="I23" s="7" t="s">
        <v>123</v>
      </c>
      <c r="J23" s="8" t="s">
        <v>124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36"/>
    <col collapsed="false" customWidth="true" hidden="false" outlineLevel="0" max="12" min="12" style="0" width="24"/>
  </cols>
  <sheetData>
    <row r="1" customFormat="false" ht="30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127</v>
      </c>
      <c r="B3" s="3" t="s">
        <v>5</v>
      </c>
      <c r="C3" s="3" t="s">
        <v>128</v>
      </c>
      <c r="D3" s="3" t="s">
        <v>129</v>
      </c>
      <c r="E3" s="3" t="s">
        <v>130</v>
      </c>
      <c r="F3" s="3" t="s">
        <v>131</v>
      </c>
      <c r="G3" s="3" t="s">
        <v>132</v>
      </c>
      <c r="H3" s="3" t="s">
        <v>133</v>
      </c>
      <c r="I3" s="3" t="s">
        <v>134</v>
      </c>
      <c r="J3" s="3" t="s">
        <v>135</v>
      </c>
      <c r="K3" s="3" t="s">
        <v>136</v>
      </c>
      <c r="L3" s="3" t="s">
        <v>137</v>
      </c>
    </row>
    <row r="4" customFormat="false" ht="42" hidden="false" customHeight="true" outlineLevel="0" collapsed="false">
      <c r="A4" s="4" t="s">
        <v>138</v>
      </c>
      <c r="B4" s="4" t="s">
        <v>118</v>
      </c>
      <c r="C4" s="5" t="s">
        <v>116</v>
      </c>
      <c r="D4" s="5" t="s">
        <v>139</v>
      </c>
      <c r="E4" s="5" t="s">
        <v>140</v>
      </c>
      <c r="F4" s="4" t="n">
        <v>3</v>
      </c>
      <c r="G4" s="4" t="n">
        <v>5</v>
      </c>
      <c r="H4" s="4" t="n">
        <v>15</v>
      </c>
      <c r="I4" s="8" t="s">
        <v>141</v>
      </c>
      <c r="J4" s="5" t="s">
        <v>142</v>
      </c>
      <c r="K4" s="5" t="s">
        <v>143</v>
      </c>
      <c r="L4" s="5" t="s">
        <v>144</v>
      </c>
    </row>
    <row r="5" customFormat="false" ht="42" hidden="false" customHeight="true" outlineLevel="0" collapsed="false">
      <c r="A5" s="6" t="s">
        <v>145</v>
      </c>
      <c r="B5" s="6" t="s">
        <v>15</v>
      </c>
      <c r="C5" s="7" t="s">
        <v>146</v>
      </c>
      <c r="D5" s="7" t="s">
        <v>147</v>
      </c>
      <c r="E5" s="7" t="s">
        <v>148</v>
      </c>
      <c r="F5" s="6" t="n">
        <v>5</v>
      </c>
      <c r="G5" s="6" t="n">
        <v>4</v>
      </c>
      <c r="H5" s="6" t="n">
        <v>20</v>
      </c>
      <c r="I5" s="8" t="s">
        <v>141</v>
      </c>
      <c r="J5" s="7" t="s">
        <v>149</v>
      </c>
      <c r="K5" s="7" t="s">
        <v>150</v>
      </c>
      <c r="L5" s="7" t="s">
        <v>151</v>
      </c>
    </row>
    <row r="6" customFormat="false" ht="42" hidden="false" customHeight="true" outlineLevel="0" collapsed="false">
      <c r="A6" s="4" t="s">
        <v>152</v>
      </c>
      <c r="B6" s="4" t="s">
        <v>15</v>
      </c>
      <c r="C6" s="5" t="s">
        <v>153</v>
      </c>
      <c r="D6" s="5" t="s">
        <v>154</v>
      </c>
      <c r="E6" s="5" t="s">
        <v>155</v>
      </c>
      <c r="F6" s="4" t="n">
        <v>5</v>
      </c>
      <c r="G6" s="4" t="n">
        <v>3</v>
      </c>
      <c r="H6" s="4" t="n">
        <v>15</v>
      </c>
      <c r="I6" s="8" t="s">
        <v>141</v>
      </c>
      <c r="J6" s="5" t="s">
        <v>156</v>
      </c>
      <c r="K6" s="5" t="s">
        <v>157</v>
      </c>
      <c r="L6" s="5" t="s">
        <v>151</v>
      </c>
    </row>
    <row r="7" customFormat="false" ht="42" hidden="false" customHeight="true" outlineLevel="0" collapsed="false">
      <c r="A7" s="6" t="s">
        <v>158</v>
      </c>
      <c r="B7" s="6" t="s">
        <v>15</v>
      </c>
      <c r="C7" s="7" t="s">
        <v>53</v>
      </c>
      <c r="D7" s="7" t="s">
        <v>159</v>
      </c>
      <c r="E7" s="7" t="s">
        <v>160</v>
      </c>
      <c r="F7" s="6" t="n">
        <v>3</v>
      </c>
      <c r="G7" s="6" t="n">
        <v>4</v>
      </c>
      <c r="H7" s="6" t="n">
        <v>12</v>
      </c>
      <c r="I7" s="9" t="s">
        <v>161</v>
      </c>
      <c r="J7" s="7" t="s">
        <v>162</v>
      </c>
      <c r="K7" s="7" t="s">
        <v>163</v>
      </c>
      <c r="L7" s="7" t="s">
        <v>164</v>
      </c>
    </row>
    <row r="8" customFormat="false" ht="42" hidden="false" customHeight="true" outlineLevel="0" collapsed="false">
      <c r="A8" s="4" t="s">
        <v>165</v>
      </c>
      <c r="B8" s="4" t="s">
        <v>15</v>
      </c>
      <c r="C8" s="5" t="s">
        <v>60</v>
      </c>
      <c r="D8" s="5" t="s">
        <v>166</v>
      </c>
      <c r="E8" s="5" t="s">
        <v>167</v>
      </c>
      <c r="F8" s="4" t="n">
        <v>2</v>
      </c>
      <c r="G8" s="4" t="n">
        <v>5</v>
      </c>
      <c r="H8" s="4" t="n">
        <v>10</v>
      </c>
      <c r="I8" s="9" t="s">
        <v>161</v>
      </c>
      <c r="J8" s="5" t="s">
        <v>168</v>
      </c>
      <c r="K8" s="5" t="s">
        <v>169</v>
      </c>
      <c r="L8" s="5" t="s">
        <v>170</v>
      </c>
    </row>
    <row r="9" customFormat="false" ht="42" hidden="false" customHeight="true" outlineLevel="0" collapsed="false">
      <c r="A9" s="6" t="s">
        <v>171</v>
      </c>
      <c r="B9" s="6" t="s">
        <v>75</v>
      </c>
      <c r="C9" s="7" t="s">
        <v>172</v>
      </c>
      <c r="D9" s="7" t="s">
        <v>173</v>
      </c>
      <c r="E9" s="7" t="s">
        <v>174</v>
      </c>
      <c r="F9" s="6" t="n">
        <v>2</v>
      </c>
      <c r="G9" s="6" t="n">
        <v>4</v>
      </c>
      <c r="H9" s="6" t="n">
        <v>8</v>
      </c>
      <c r="I9" s="9" t="s">
        <v>161</v>
      </c>
      <c r="J9" s="7" t="s">
        <v>175</v>
      </c>
      <c r="K9" s="7" t="s">
        <v>176</v>
      </c>
      <c r="L9" s="7" t="s">
        <v>164</v>
      </c>
    </row>
    <row r="10" customFormat="false" ht="42" hidden="false" customHeight="true" outlineLevel="0" collapsed="false">
      <c r="A10" s="4" t="s">
        <v>177</v>
      </c>
      <c r="B10" s="4" t="s">
        <v>75</v>
      </c>
      <c r="C10" s="5" t="s">
        <v>95</v>
      </c>
      <c r="D10" s="5" t="s">
        <v>178</v>
      </c>
      <c r="E10" s="5" t="s">
        <v>179</v>
      </c>
      <c r="F10" s="4" t="n">
        <v>3</v>
      </c>
      <c r="G10" s="4" t="n">
        <v>3</v>
      </c>
      <c r="H10" s="4" t="n">
        <v>9</v>
      </c>
      <c r="I10" s="9" t="s">
        <v>161</v>
      </c>
      <c r="J10" s="5" t="s">
        <v>180</v>
      </c>
      <c r="K10" s="5" t="s">
        <v>181</v>
      </c>
      <c r="L10" s="5" t="s">
        <v>164</v>
      </c>
    </row>
    <row r="11" customFormat="false" ht="42" hidden="false" customHeight="true" outlineLevel="0" collapsed="false">
      <c r="A11" s="6" t="s">
        <v>182</v>
      </c>
      <c r="B11" s="6" t="s">
        <v>15</v>
      </c>
      <c r="C11" s="7" t="s">
        <v>68</v>
      </c>
      <c r="D11" s="7" t="s">
        <v>183</v>
      </c>
      <c r="E11" s="7" t="s">
        <v>184</v>
      </c>
      <c r="F11" s="6" t="n">
        <v>2</v>
      </c>
      <c r="G11" s="6" t="n">
        <v>4</v>
      </c>
      <c r="H11" s="6" t="n">
        <v>8</v>
      </c>
      <c r="I11" s="9" t="s">
        <v>161</v>
      </c>
      <c r="J11" s="7" t="s">
        <v>185</v>
      </c>
      <c r="K11" s="7" t="s">
        <v>186</v>
      </c>
      <c r="L11" s="7" t="s">
        <v>187</v>
      </c>
    </row>
    <row r="12" customFormat="false" ht="42" hidden="false" customHeight="true" outlineLevel="0" collapsed="false">
      <c r="A12" s="4" t="s">
        <v>188</v>
      </c>
      <c r="B12" s="4" t="s">
        <v>75</v>
      </c>
      <c r="C12" s="5" t="s">
        <v>189</v>
      </c>
      <c r="D12" s="5" t="s">
        <v>190</v>
      </c>
      <c r="E12" s="5" t="s">
        <v>191</v>
      </c>
      <c r="F12" s="4" t="n">
        <v>2</v>
      </c>
      <c r="G12" s="4" t="n">
        <v>3</v>
      </c>
      <c r="H12" s="4" t="n">
        <v>6</v>
      </c>
      <c r="I12" s="10" t="s">
        <v>192</v>
      </c>
      <c r="J12" s="5" t="s">
        <v>193</v>
      </c>
      <c r="K12" s="5" t="s">
        <v>194</v>
      </c>
      <c r="L12" s="5" t="s">
        <v>164</v>
      </c>
    </row>
    <row r="13" customFormat="false" ht="42" hidden="false" customHeight="true" outlineLevel="0" collapsed="false">
      <c r="A13" s="6" t="s">
        <v>195</v>
      </c>
      <c r="B13" s="6" t="s">
        <v>15</v>
      </c>
      <c r="C13" s="7" t="s">
        <v>196</v>
      </c>
      <c r="D13" s="7" t="s">
        <v>197</v>
      </c>
      <c r="E13" s="7" t="s">
        <v>198</v>
      </c>
      <c r="F13" s="6" t="n">
        <v>3</v>
      </c>
      <c r="G13" s="6" t="n">
        <v>2</v>
      </c>
      <c r="H13" s="6" t="n">
        <v>6</v>
      </c>
      <c r="I13" s="10" t="s">
        <v>192</v>
      </c>
      <c r="J13" s="7" t="s">
        <v>199</v>
      </c>
      <c r="K13" s="7" t="s">
        <v>200</v>
      </c>
      <c r="L13" s="7" t="s">
        <v>164</v>
      </c>
    </row>
    <row r="14" customFormat="false" ht="42" hidden="false" customHeight="true" outlineLevel="0" collapsed="false">
      <c r="A14" s="4" t="s">
        <v>201</v>
      </c>
      <c r="B14" s="4" t="s">
        <v>75</v>
      </c>
      <c r="C14" s="5" t="s">
        <v>111</v>
      </c>
      <c r="D14" s="5" t="s">
        <v>202</v>
      </c>
      <c r="E14" s="5" t="s">
        <v>203</v>
      </c>
      <c r="F14" s="4" t="n">
        <v>2</v>
      </c>
      <c r="G14" s="4" t="n">
        <v>3</v>
      </c>
      <c r="H14" s="4" t="n">
        <v>6</v>
      </c>
      <c r="I14" s="10" t="s">
        <v>192</v>
      </c>
      <c r="J14" s="5" t="s">
        <v>204</v>
      </c>
      <c r="K14" s="5" t="s">
        <v>205</v>
      </c>
      <c r="L14" s="5" t="s">
        <v>187</v>
      </c>
    </row>
    <row r="15" customFormat="false" ht="42" hidden="false" customHeight="true" outlineLevel="0" collapsed="false">
      <c r="A15" s="6" t="s">
        <v>206</v>
      </c>
      <c r="B15" s="6" t="s">
        <v>15</v>
      </c>
      <c r="C15" s="7" t="s">
        <v>207</v>
      </c>
      <c r="D15" s="7" t="s">
        <v>208</v>
      </c>
      <c r="E15" s="7" t="s">
        <v>209</v>
      </c>
      <c r="F15" s="6" t="n">
        <v>3</v>
      </c>
      <c r="G15" s="6" t="n">
        <v>2</v>
      </c>
      <c r="H15" s="6" t="n">
        <v>6</v>
      </c>
      <c r="I15" s="10" t="s">
        <v>192</v>
      </c>
      <c r="J15" s="7" t="s">
        <v>210</v>
      </c>
      <c r="K15" s="7" t="s">
        <v>211</v>
      </c>
      <c r="L15" s="7" t="s">
        <v>164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212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3" t="s">
        <v>134</v>
      </c>
      <c r="B2" s="3" t="s">
        <v>213</v>
      </c>
      <c r="C2" s="3" t="s">
        <v>214</v>
      </c>
      <c r="D2" s="3" t="s">
        <v>215</v>
      </c>
      <c r="E2" s="3" t="s">
        <v>216</v>
      </c>
      <c r="F2" s="3" t="s">
        <v>5</v>
      </c>
    </row>
    <row r="3" customFormat="false" ht="25.5" hidden="false" customHeight="true" outlineLevel="0" collapsed="false">
      <c r="A3" s="8" t="s">
        <v>141</v>
      </c>
      <c r="B3" s="6" t="n">
        <f aca="false">COUNTIF('Risk Register (FMEA)'!I4:I15,"Critical")</f>
        <v>3</v>
      </c>
      <c r="C3" s="7" t="s">
        <v>217</v>
      </c>
      <c r="D3" s="6" t="n">
        <v>20</v>
      </c>
      <c r="E3" s="7" t="s">
        <v>218</v>
      </c>
      <c r="F3" s="7" t="s">
        <v>219</v>
      </c>
    </row>
    <row r="4" customFormat="false" ht="25.5" hidden="false" customHeight="true" outlineLevel="0" collapsed="false">
      <c r="A4" s="9" t="s">
        <v>161</v>
      </c>
      <c r="B4" s="4" t="n">
        <f aca="false">COUNTIF('Risk Register (FMEA)'!I4:I15,"High")</f>
        <v>5</v>
      </c>
      <c r="C4" s="5" t="s">
        <v>220</v>
      </c>
      <c r="D4" s="4" t="n">
        <v>12</v>
      </c>
      <c r="E4" s="5" t="s">
        <v>221</v>
      </c>
      <c r="F4" s="5" t="s">
        <v>222</v>
      </c>
    </row>
    <row r="5" customFormat="false" ht="25.5" hidden="false" customHeight="true" outlineLevel="0" collapsed="false">
      <c r="A5" s="10" t="s">
        <v>192</v>
      </c>
      <c r="B5" s="6" t="n">
        <f aca="false">COUNTIF('Risk Register (FMEA)'!I4:I15,"Medium")</f>
        <v>4</v>
      </c>
      <c r="C5" s="7" t="s">
        <v>223</v>
      </c>
      <c r="D5" s="6" t="n">
        <v>6</v>
      </c>
      <c r="E5" s="7" t="s">
        <v>224</v>
      </c>
      <c r="F5" s="7" t="s">
        <v>222</v>
      </c>
    </row>
    <row r="6" customFormat="false" ht="25.5" hidden="false" customHeight="true" outlineLevel="0" collapsed="false">
      <c r="A6" s="11" t="s">
        <v>225</v>
      </c>
      <c r="B6" s="4" t="n">
        <f aca="false">COUNTIF('Risk Register (FMEA)'!I4:I15,"Low")</f>
        <v>0</v>
      </c>
      <c r="C6" s="5" t="s">
        <v>226</v>
      </c>
      <c r="D6" s="4" t="n">
        <v>3</v>
      </c>
      <c r="E6" s="5" t="s">
        <v>227</v>
      </c>
      <c r="F6" s="5" t="s">
        <v>226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228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3" t="s">
        <v>128</v>
      </c>
      <c r="B2" s="3" t="s">
        <v>5</v>
      </c>
      <c r="C2" s="3" t="s">
        <v>229</v>
      </c>
      <c r="D2" s="3" t="s">
        <v>230</v>
      </c>
      <c r="E2" s="3" t="s">
        <v>231</v>
      </c>
      <c r="F2" s="3" t="s">
        <v>136</v>
      </c>
      <c r="G2" s="3" t="s">
        <v>232</v>
      </c>
    </row>
    <row r="3" customFormat="false" ht="37.5" hidden="false" customHeight="true" outlineLevel="0" collapsed="false">
      <c r="A3" s="7" t="s">
        <v>116</v>
      </c>
      <c r="B3" s="6" t="s">
        <v>118</v>
      </c>
      <c r="C3" s="6" t="s">
        <v>233</v>
      </c>
      <c r="D3" s="7" t="s">
        <v>234</v>
      </c>
      <c r="E3" s="7" t="s">
        <v>235</v>
      </c>
      <c r="F3" s="7" t="s">
        <v>236</v>
      </c>
      <c r="G3" s="8" t="s">
        <v>141</v>
      </c>
    </row>
    <row r="4" customFormat="false" ht="37.5" hidden="false" customHeight="true" outlineLevel="0" collapsed="false">
      <c r="A4" s="5" t="s">
        <v>146</v>
      </c>
      <c r="B4" s="4" t="s">
        <v>15</v>
      </c>
      <c r="C4" s="4" t="s">
        <v>237</v>
      </c>
      <c r="D4" s="5" t="s">
        <v>234</v>
      </c>
      <c r="E4" s="5" t="s">
        <v>238</v>
      </c>
      <c r="F4" s="5" t="s">
        <v>239</v>
      </c>
      <c r="G4" s="8" t="s">
        <v>141</v>
      </c>
    </row>
    <row r="5" customFormat="false" ht="37.5" hidden="false" customHeight="true" outlineLevel="0" collapsed="false">
      <c r="A5" s="7" t="s">
        <v>240</v>
      </c>
      <c r="B5" s="6" t="s">
        <v>15</v>
      </c>
      <c r="C5" s="6" t="s">
        <v>241</v>
      </c>
      <c r="D5" s="7" t="s">
        <v>234</v>
      </c>
      <c r="E5" s="7" t="s">
        <v>242</v>
      </c>
      <c r="F5" s="7" t="s">
        <v>243</v>
      </c>
      <c r="G5" s="9" t="s">
        <v>161</v>
      </c>
    </row>
    <row r="6" customFormat="false" ht="37.5" hidden="false" customHeight="true" outlineLevel="0" collapsed="false">
      <c r="A6" s="5" t="s">
        <v>244</v>
      </c>
      <c r="B6" s="4" t="s">
        <v>15</v>
      </c>
      <c r="C6" s="4" t="s">
        <v>241</v>
      </c>
      <c r="D6" s="5" t="s">
        <v>234</v>
      </c>
      <c r="E6" s="5" t="s">
        <v>245</v>
      </c>
      <c r="F6" s="5" t="s">
        <v>246</v>
      </c>
      <c r="G6" s="9" t="s">
        <v>161</v>
      </c>
    </row>
    <row r="7" customFormat="false" ht="37.5" hidden="false" customHeight="true" outlineLevel="0" collapsed="false">
      <c r="A7" s="7" t="s">
        <v>247</v>
      </c>
      <c r="B7" s="6" t="s">
        <v>75</v>
      </c>
      <c r="C7" s="6" t="s">
        <v>241</v>
      </c>
      <c r="D7" s="7" t="s">
        <v>234</v>
      </c>
      <c r="E7" s="7" t="s">
        <v>248</v>
      </c>
      <c r="F7" s="7" t="s">
        <v>249</v>
      </c>
      <c r="G7" s="9" t="s">
        <v>161</v>
      </c>
    </row>
    <row r="8" customFormat="false" ht="37.5" hidden="false" customHeight="true" outlineLevel="0" collapsed="false">
      <c r="A8" s="5" t="s">
        <v>250</v>
      </c>
      <c r="B8" s="4" t="s">
        <v>75</v>
      </c>
      <c r="C8" s="4" t="s">
        <v>241</v>
      </c>
      <c r="D8" s="5" t="s">
        <v>234</v>
      </c>
      <c r="E8" s="5" t="s">
        <v>251</v>
      </c>
      <c r="F8" s="5" t="s">
        <v>252</v>
      </c>
      <c r="G8" s="9" t="s">
        <v>161</v>
      </c>
    </row>
    <row r="9" customFormat="false" ht="37.5" hidden="false" customHeight="true" outlineLevel="0" collapsed="false">
      <c r="A9" s="7" t="s">
        <v>253</v>
      </c>
      <c r="B9" s="6" t="s">
        <v>15</v>
      </c>
      <c r="C9" s="6" t="s">
        <v>241</v>
      </c>
      <c r="D9" s="7" t="s">
        <v>234</v>
      </c>
      <c r="E9" s="7" t="s">
        <v>254</v>
      </c>
      <c r="F9" s="7" t="s">
        <v>255</v>
      </c>
      <c r="G9" s="10" t="s">
        <v>192</v>
      </c>
    </row>
    <row r="10" customFormat="false" ht="37.5" hidden="false" customHeight="true" outlineLevel="0" collapsed="false">
      <c r="A10" s="5" t="s">
        <v>95</v>
      </c>
      <c r="B10" s="4" t="s">
        <v>75</v>
      </c>
      <c r="C10" s="4" t="s">
        <v>256</v>
      </c>
      <c r="D10" s="5" t="s">
        <v>234</v>
      </c>
      <c r="E10" s="5" t="s">
        <v>257</v>
      </c>
      <c r="F10" s="5" t="s">
        <v>258</v>
      </c>
      <c r="G10" s="10" t="s">
        <v>192</v>
      </c>
    </row>
    <row r="11" customFormat="false" ht="37.5" hidden="false" customHeight="true" outlineLevel="0" collapsed="false">
      <c r="A11" s="7" t="s">
        <v>53</v>
      </c>
      <c r="B11" s="6" t="s">
        <v>15</v>
      </c>
      <c r="C11" s="6" t="s">
        <v>259</v>
      </c>
      <c r="D11" s="7" t="s">
        <v>234</v>
      </c>
      <c r="E11" s="7" t="s">
        <v>257</v>
      </c>
      <c r="F11" s="7" t="s">
        <v>260</v>
      </c>
      <c r="G11" s="10" t="s">
        <v>192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2026-06-01T16:39:44Z</dcterms:created>
  <dc:creator>openpyxl</dc:creator>
  <dc:description/>
  <dc:language>en-US</dc:language>
  <cp:lastModifiedBy/>
  <dcterms:modified xsi:type="dcterms:W3CDTF">2026-06-01T16:39:44Z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